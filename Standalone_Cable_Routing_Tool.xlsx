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50" windowWidth="29040" windowHeight="17640" tabRatio="600" firstSheet="0" activeTab="0" autoFilterDateGrouping="1"/>
  </bookViews>
  <sheets>
    <sheet xmlns:r="http://schemas.openxmlformats.org/officeDocument/2006/relationships" name="Routing Decision Tool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Decision Rules" sheetId="3" state="visible" r:id="rId3"/>
    <sheet xmlns:r="http://schemas.openxmlformats.org/officeDocument/2006/relationships" name="Typical Route Model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color rgb="FFFFFFFF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4" fillId="3" borderId="1" pivotButton="0" quotePrefix="0" xfId="0"/>
    <xf numFmtId="0" fontId="0" fillId="0" borderId="1" applyProtection="1" pivotButton="0" quotePrefix="0" xfId="0">
      <protection locked="0" hidden="0"/>
    </xf>
    <xf numFmtId="0" fontId="4" fillId="5" borderId="1" pivotButton="0" quotePrefix="0" xfId="0"/>
    <xf numFmtId="0" fontId="0" fillId="0" borderId="1" pivotButton="0" quotePrefix="0" xfId="0"/>
    <xf numFmtId="9" fontId="0" fillId="0" borderId="1" applyProtection="1" pivotButton="0" quotePrefix="0" xfId="0">
      <protection locked="0" hidden="0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2" fillId="0" borderId="0" pivotButton="0" quotePrefix="0" xfId="0"/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9" fontId="0" fillId="0" borderId="1" applyAlignment="1" applyProtection="1" pivotButton="0" quotePrefix="0" xfId="0">
      <alignment wrapText="1"/>
      <protection locked="0" hidden="0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pane ySplit="3" topLeftCell="A4" activePane="bottomLeft" state="frozen"/>
      <selection pane="bottomLeft" activeCell="F15" sqref="F15"/>
    </sheetView>
  </sheetViews>
  <sheetFormatPr baseColWidth="8" defaultRowHeight="14.4"/>
  <cols>
    <col width="30" customWidth="1" style="13" min="1" max="1"/>
    <col width="65" customWidth="1" style="13" min="2" max="2"/>
    <col width="24" customWidth="1" style="13" min="3" max="3"/>
    <col hidden="1" width="24" customWidth="1" style="13" min="4" max="5"/>
    <col width="24" customWidth="1" style="13" min="6" max="7"/>
  </cols>
  <sheetData>
    <row r="1" ht="18" customHeight="1" s="13">
      <c r="A1" s="14" t="inlineStr">
        <is>
          <t>Cable Routing Decision Tool with Full Logic</t>
        </is>
      </c>
    </row>
    <row r="3">
      <c r="A3" s="1" t="inlineStr">
        <is>
          <t>Input Item</t>
        </is>
      </c>
      <c r="B3" s="1" t="inlineStr">
        <is>
          <t>Selection / Value</t>
        </is>
      </c>
    </row>
    <row r="4">
      <c r="A4" s="2" t="inlineStr">
        <is>
          <t>Area</t>
        </is>
      </c>
      <c r="B4" s="19" t="inlineStr">
        <is>
          <t>Outdoor</t>
        </is>
      </c>
      <c r="D4" s="4" t="inlineStr">
        <is>
          <t>Primary Voltage Category</t>
        </is>
      </c>
      <c r="E4" s="5">
        <f>IFERROR(VLOOKUP($B$5,'Reference Data'!$A$14:$E$22,2,FALSE),"")</f>
        <v/>
      </c>
    </row>
    <row r="5">
      <c r="A5" s="2" t="inlineStr">
        <is>
          <t>Primary System Type</t>
        </is>
      </c>
      <c r="B5" s="19" t="inlineStr">
        <is>
          <t>Power 400/230V</t>
        </is>
      </c>
      <c r="D5" s="4" t="inlineStr">
        <is>
          <t>Shared Voltage Category</t>
        </is>
      </c>
      <c r="E5" s="5">
        <f>IFERROR(VLOOKUP($B$6,'Reference Data'!$A$14:$E$22,2,FALSE),"")</f>
        <v/>
      </c>
    </row>
    <row r="6">
      <c r="A6" s="2" t="inlineStr">
        <is>
          <t>Shared With System Type</t>
        </is>
      </c>
      <c r="B6" s="19" t="inlineStr">
        <is>
          <t>Speaker 100V</t>
        </is>
      </c>
      <c r="D6" s="4" t="inlineStr">
        <is>
          <t>Primary Philosophy</t>
        </is>
      </c>
      <c r="E6" s="5">
        <f>IFERROR(VLOOKUP($B$5,'Reference Data'!$A$14:$E$22,4,FALSE),"")</f>
        <v/>
      </c>
    </row>
    <row r="7">
      <c r="A7" s="2" t="inlineStr">
        <is>
          <t>Same Tray Considered</t>
        </is>
      </c>
      <c r="B7" s="19" t="inlineStr">
        <is>
          <t>Yes</t>
        </is>
      </c>
      <c r="D7" s="4" t="inlineStr">
        <is>
          <t>Shared Philosophy</t>
        </is>
      </c>
      <c r="E7" s="5">
        <f>IFERROR(VLOOKUP($B$6,'Reference Data'!$A$14:$E$22,4,FALSE),"")</f>
        <v/>
      </c>
    </row>
    <row r="8">
      <c r="A8" s="2" t="inlineStr">
        <is>
          <t>Separator Applied</t>
        </is>
      </c>
      <c r="B8" s="19" t="inlineStr">
        <is>
          <t>Yes</t>
        </is>
      </c>
      <c r="D8" s="4" t="inlineStr">
        <is>
          <t>Speaker and Low Signal Conflict</t>
        </is>
      </c>
      <c r="E8" s="5">
        <f>IF(AND(OR($B$5="Speaker 100V",$B$6="Speaker 100V"),OR($B$5="UTP 5V",$B$5="Signal under 24V",$B$5="Beacon 24-48V",$B$5="Call Station 24-48V",$B$5="Analog Tel 24-48V",$B$6="UTP 5V",$B$6="Signal under 24V",$B$6="Beacon 24-48V",$B$6="Call Station 24-48V",$B$6="Analog Tel 24-48V")),"Yes","No")</f>
        <v/>
      </c>
    </row>
    <row r="9">
      <c r="A9" s="2" t="inlineStr">
        <is>
          <t>Construction Schedule</t>
        </is>
      </c>
      <c r="B9" s="19" t="inlineStr">
        <is>
          <t>Different Phase</t>
        </is>
      </c>
      <c r="D9" s="4" t="inlineStr">
        <is>
          <t>Power Involved</t>
        </is>
      </c>
      <c r="E9" s="5">
        <f>IF(OR($B$5="Power 400/230V",$B$5="Beacon 230V",$B$6="Power 400/230V",$B$6="Beacon 230V"),"Yes","No")</f>
        <v/>
      </c>
    </row>
    <row r="10">
      <c r="A10" s="2" t="inlineStr">
        <is>
          <t>Tray Spare Percentage</t>
        </is>
      </c>
      <c r="B10" s="20" t="n">
        <v>0.2</v>
      </c>
      <c r="D10" s="4" t="inlineStr">
        <is>
          <t>Low Signal Involved</t>
        </is>
      </c>
      <c r="E10" s="5">
        <f>IF(OR($B$5="UTP 5V",$B$5="Signal under 24V",$B$5="Beacon 24-48V",$B$5="Call Station 24-48V",$B$5="Analog Tel 24-48V",$B$6="UTP 5V",$B$6="Signal under 24V",$B$6="Beacon 24-48V",$B$6="Call Station 24-48V",$B$6="Analog Tel 24-48V"),"Yes","No")</f>
        <v/>
      </c>
    </row>
    <row r="11">
      <c r="A11" s="2" t="inlineStr">
        <is>
          <t>Owner Approval Granted?</t>
        </is>
      </c>
      <c r="B11" s="19" t="inlineStr">
        <is>
          <t>Yes</t>
        </is>
      </c>
      <c r="D11" s="4" t="inlineStr">
        <is>
          <t>Indoor Restriction</t>
        </is>
      </c>
      <c r="E11" s="5">
        <f>IF(OR($B$4="Indoor",$B$4="Control Room"),"Yes","No")</f>
        <v/>
      </c>
    </row>
    <row r="12">
      <c r="A12" s="1" t="inlineStr">
        <is>
          <t>Automatic Decision Output</t>
        </is>
      </c>
      <c r="B12" s="21" t="inlineStr">
        <is>
          <t>Result</t>
        </is>
      </c>
      <c r="E12" s="5">
        <f>IF(OR($B$5="Speaker 100V",$B$6="Speaker 100V"), "Yes", IF(AND($E$10="Yes", $E$11="Yes", $E$9="Yes"), "Yes", IF(AND($E$10="Yes", $E$11="Yes", $B$4="Indoor"), "Yes", IF(AND($E$10="Yes", $E$11="No", $E$9="Yes"), "Yes", "No"))))</f>
        <v/>
      </c>
    </row>
    <row r="13" s="13">
      <c r="A13" s="7" t="inlineStr">
        <is>
          <t>Sharing Allowed</t>
        </is>
      </c>
      <c r="B13" s="8">
        <f>IF(OR($B$7="No", $B$11="No", $E$12="Yes", $B$9="Different Phase", AND(IF(OR($E$9="Yes", OR($B$5="FO Cable",$B$6="FO Cable"), AND($E$10="Yes", $E$11="No")), "Yes", "No")="Yes", $B$8&lt;&gt;"Yes")), "No", "Yes")</f>
        <v/>
      </c>
    </row>
    <row r="14" s="13">
      <c r="A14" s="7" t="inlineStr">
        <is>
          <t>Separator Mandatory</t>
        </is>
      </c>
      <c r="B14" s="8">
        <f>IF($B$7="No", "Not Applicable", IF(OR($E$9="Yes", OR($B$5="FO Cable",$B$6="FO Cable"), AND($E$10="Yes", $E$11="No")), "Yes", "No"))</f>
        <v/>
      </c>
    </row>
    <row r="15" s="13">
      <c r="A15" s="7" t="inlineStr">
        <is>
          <t>Dedicated Tray Required</t>
        </is>
      </c>
      <c r="B15" s="8">
        <f>IF($B$13="Yes", "No", "Yes")</f>
        <v/>
      </c>
    </row>
    <row r="16" s="13">
      <c r="A16" s="7" t="inlineStr">
        <is>
          <t>Separation Review Required</t>
        </is>
      </c>
      <c r="B16" s="8">
        <f>IF($B$7="No", "No", IF(OR($E$9="Yes", OR($B$5="FO Cable",$B$6="FO Cable"), AND($E$10="Yes", $E$11="No")), "Yes", "No"))</f>
        <v/>
      </c>
    </row>
    <row r="17" s="13">
      <c r="A17" s="7" t="inlineStr">
        <is>
          <t>Construction Schedule Compatible</t>
        </is>
      </c>
      <c r="B17" s="8">
        <f>IF($B$9="Same Phase", "Yes", "No")</f>
        <v/>
      </c>
    </row>
    <row r="18" s="13">
      <c r="A18" s="7" t="inlineStr">
        <is>
          <t>Tray Spare Status</t>
        </is>
      </c>
      <c r="B18" s="8">
        <f>IF($B$10&gt;=0.2, "Acceptable", "Increase Tray Size or Adjust Route")</f>
        <v/>
      </c>
    </row>
    <row r="19" s="13">
      <c r="A19" s="7" t="inlineStr">
        <is>
          <t>Typical Route Model</t>
        </is>
      </c>
      <c r="B19" s="8">
        <f>IF($B$4="Outdoor", IF($B$15="Yes", "TR-02 Roadside Tray or Trench", "TR-01 Outdoor Common Route"), IF($B$4="Indoor", "TR-03 Building Entry Segregated Route", "TR-04 Control Room Dedicated Route"))</f>
        <v/>
      </c>
    </row>
    <row r="20" s="13">
      <c r="A20" s="7" t="inlineStr">
        <is>
          <t>Final Decision Owner</t>
        </is>
      </c>
      <c r="B20" s="8">
        <f>IF($B$4="Control Room", "Engineering Manager", IF($B$15="Yes", "Common Route Lead", IF(OR($B$5="FO Cable",$B$6="FO Cable",$B$5="Speaker 100V",$B$6="Speaker 100V",$B$5="UTP 5V",$B$6="UTP 5V"), "Telecom Lead", IF($E$9="Yes", "Electrical Lead", "Instrument Lead"))))</f>
        <v/>
      </c>
    </row>
    <row r="21" s="13">
      <c r="A21" s="7" t="inlineStr">
        <is>
          <t>Layout Strategy</t>
        </is>
      </c>
      <c r="B21" s="8">
        <f>IF($B$13="No", "Layout Type: Separated -&gt; Coordinate E/I Drawings", "N/A")</f>
        <v/>
      </c>
    </row>
    <row r="22" s="13">
      <c r="A22" s="7" t="inlineStr">
        <is>
          <t>Summary</t>
        </is>
      </c>
      <c r="B22" s="8">
        <f>IF($B$13="Yes", "Sharing acceptable. Apply stated separator and review requirements.", "Sharing not recommended. Use dedicated tray or trench. (Coordinate E/I Drawings)")</f>
        <v/>
      </c>
    </row>
    <row r="23" s="13">
      <c r="A23" s="12" t="n"/>
    </row>
    <row r="24" s="13">
      <c r="A24" s="1" t="inlineStr">
        <is>
          <t>Owner Discussion Notes</t>
        </is>
      </c>
      <c r="B24" s="15" t="n"/>
      <c r="C24" s="15" t="n"/>
      <c r="D24" s="15" t="n"/>
      <c r="E24" s="16" t="n"/>
    </row>
    <row r="25">
      <c r="A25" s="12" t="inlineStr">
        <is>
          <t>Use this area to record project-specific agreements, exceptions, or Owner comments. Any exception to automatic decision output should be approved by the Final Decision Owner.</t>
        </is>
      </c>
      <c r="B25" s="17" t="n"/>
      <c r="C25" s="17" t="n"/>
      <c r="D25" s="17" t="n"/>
      <c r="E2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F1"/>
    <mergeCell ref="A25:E25"/>
    <mergeCell ref="A24:E24"/>
  </mergeCells>
  <conditionalFormatting sqref="B13:B17">
    <cfRule type="expression" priority="1" dxfId="2">
      <formula>B13="Yes"</formula>
    </cfRule>
    <cfRule type="expression" priority="2" dxfId="1">
      <formula>B13="No"</formula>
    </cfRule>
  </conditionalFormatting>
  <conditionalFormatting sqref="B14:B17">
    <cfRule type="expression" priority="3" dxfId="0">
      <formula>B14="Yes"</formula>
    </cfRule>
  </conditionalFormatting>
  <dataValidations count="7">
    <dataValidation sqref="B4" showDropDown="0" showInputMessage="0" showErrorMessage="0" allowBlank="0" type="list">
      <formula1>"Outdoor,Indoor,Control Room"</formula1>
    </dataValidation>
    <dataValidation sqref="B5 B6" showDropDown="0" showInputMessage="0" showErrorMessage="0" allowBlank="0" type="list">
      <formula1>"FO Cable,Power 400/230V,Speaker 100V,UTP 5V,Signal under 24V,Beacon 230V,Beacon 24-48V,Call Station 24-48V,Analog Tel 24-48V"</formula1>
    </dataValidation>
    <dataValidation sqref="B7" showDropDown="0" showInputMessage="0" showErrorMessage="0" allowBlank="0" type="list">
      <formula1>"Yes,No"</formula1>
    </dataValidation>
    <dataValidation sqref="B8" showDropDown="0" showInputMessage="0" showErrorMessage="0" allowBlank="0" type="list">
      <formula1>"Yes,No,Not Applicable"</formula1>
    </dataValidation>
    <dataValidation sqref="B9" showDropDown="0" showInputMessage="0" showErrorMessage="0" allowBlank="0" type="list">
      <formula1>"Same Phase,Different Phase"</formula1>
    </dataValidation>
    <dataValidation sqref="B10" showDropDown="0" showInputMessage="0" showErrorMessage="0" allowBlank="0" errorTitle="Invalid Input" error="Spare capacity must be a percentage between 0 and 100% (entered as 0.0 to 1.0)" promptTitle="Spare Capacity" prompt="Enter a decimal between 0.0 and 1.0" type="decimal" operator="between">
      <formula1>0</formula1>
      <formula2>1</formula2>
    </dataValidation>
    <dataValidation sqref="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C2" sqref="C2:C9"/>
    </sheetView>
  </sheetViews>
  <sheetFormatPr baseColWidth="8" defaultRowHeight="14.4"/>
  <cols>
    <col width="24" customWidth="1" style="13" min="1" max="7"/>
    <col width="18.44140625" customWidth="1" style="13" min="9" max="9"/>
  </cols>
  <sheetData>
    <row r="1">
      <c r="A1" s="1" t="inlineStr">
        <is>
          <t>Area</t>
        </is>
      </c>
      <c r="C1" s="1" t="inlineStr">
        <is>
          <t>System Type</t>
        </is>
      </c>
      <c r="E1" s="1" t="inlineStr">
        <is>
          <t>Same Tray</t>
        </is>
      </c>
      <c r="G1" s="1" t="inlineStr">
        <is>
          <t>Separator Applied</t>
        </is>
      </c>
      <c r="I1" s="1" t="inlineStr">
        <is>
          <t>Construction Schedule</t>
        </is>
      </c>
    </row>
    <row r="2">
      <c r="A2" s="9" t="inlineStr">
        <is>
          <t>Outdoor</t>
        </is>
      </c>
      <c r="C2" s="9" t="inlineStr">
        <is>
          <t>FO Cable</t>
        </is>
      </c>
      <c r="E2" s="9" t="inlineStr">
        <is>
          <t>Yes</t>
        </is>
      </c>
      <c r="G2" s="9" t="inlineStr">
        <is>
          <t>Yes</t>
        </is>
      </c>
      <c r="I2" s="9" t="inlineStr">
        <is>
          <t>Same Phase</t>
        </is>
      </c>
    </row>
    <row r="3">
      <c r="A3" s="9" t="inlineStr">
        <is>
          <t>Indoor</t>
        </is>
      </c>
      <c r="C3" s="9" t="inlineStr">
        <is>
          <t>Power 400/230V</t>
        </is>
      </c>
      <c r="E3" s="9" t="inlineStr">
        <is>
          <t>No</t>
        </is>
      </c>
      <c r="G3" s="9" t="inlineStr">
        <is>
          <t>No</t>
        </is>
      </c>
      <c r="I3" s="9" t="inlineStr">
        <is>
          <t>Different Phase</t>
        </is>
      </c>
    </row>
    <row r="4">
      <c r="A4" s="9" t="inlineStr">
        <is>
          <t>Control Room</t>
        </is>
      </c>
      <c r="C4" s="9" t="inlineStr">
        <is>
          <t>Beacon 230V</t>
        </is>
      </c>
      <c r="G4" s="9" t="inlineStr">
        <is>
          <t>Not Applicable</t>
        </is>
      </c>
    </row>
    <row r="5">
      <c r="C5" s="9" t="inlineStr">
        <is>
          <t>Speaker 100V</t>
        </is>
      </c>
    </row>
    <row r="6">
      <c r="C6" s="9" t="inlineStr">
        <is>
          <t>Beacon 24-48V</t>
        </is>
      </c>
    </row>
    <row r="7">
      <c r="C7" s="9" t="inlineStr">
        <is>
          <t>Call Station 24-48V</t>
        </is>
      </c>
    </row>
    <row r="8">
      <c r="C8" s="9" t="inlineStr">
        <is>
          <t>Analog Tel 24-48V</t>
        </is>
      </c>
    </row>
    <row r="9">
      <c r="C9" s="9" t="inlineStr">
        <is>
          <t>UTP 5V</t>
        </is>
      </c>
    </row>
    <row r="10">
      <c r="C10" s="9" t="inlineStr">
        <is>
          <t>Signal under 24V</t>
        </is>
      </c>
    </row>
    <row r="13">
      <c r="A13" s="1" t="inlineStr">
        <is>
          <t>System Type</t>
        </is>
      </c>
      <c r="B13" s="1" t="inlineStr">
        <is>
          <t>Voltage Category</t>
        </is>
      </c>
      <c r="C13" s="1" t="inlineStr">
        <is>
          <t>Discipline</t>
        </is>
      </c>
      <c r="D13" s="1" t="inlineStr">
        <is>
          <t>Default Sharing Philosophy</t>
        </is>
      </c>
      <c r="E13" s="1" t="inlineStr">
        <is>
          <t>Notes</t>
        </is>
      </c>
    </row>
    <row r="14" ht="43.2" customHeight="1" s="13">
      <c r="A14" s="10" t="inlineStr">
        <is>
          <t>FO Cable</t>
        </is>
      </c>
      <c r="B14" s="10" t="inlineStr">
        <is>
          <t>Voltage Independent</t>
        </is>
      </c>
      <c r="C14" s="10" t="inlineStr">
        <is>
          <t>Telecom</t>
        </is>
      </c>
      <c r="D14" s="10" t="inlineStr">
        <is>
          <t>Generally Shareable</t>
        </is>
      </c>
      <c r="E14" s="10" t="inlineStr">
        <is>
          <t>Normally shareable subject to routing and installation protection.</t>
        </is>
      </c>
    </row>
    <row r="15" ht="43.2" customHeight="1" s="13">
      <c r="A15" s="10" t="inlineStr">
        <is>
          <t>Power 400/230V</t>
        </is>
      </c>
      <c r="B15" s="10" t="inlineStr">
        <is>
          <t>400V or below</t>
        </is>
      </c>
      <c r="C15" s="10" t="inlineStr">
        <is>
          <t>Electrical</t>
        </is>
      </c>
      <c r="D15" s="10" t="inlineStr">
        <is>
          <t>Limited Sharing</t>
        </is>
      </c>
      <c r="E15" s="10" t="inlineStr">
        <is>
          <t>Separator and separation review typically required when sharing.</t>
        </is>
      </c>
    </row>
    <row r="16">
      <c r="A16" s="10" t="inlineStr">
        <is>
          <t>Beacon 230V</t>
        </is>
      </c>
      <c r="B16" s="10" t="inlineStr">
        <is>
          <t>400V or below</t>
        </is>
      </c>
      <c r="C16" s="10" t="inlineStr">
        <is>
          <t>Electrical</t>
        </is>
      </c>
      <c r="D16" s="10" t="inlineStr">
        <is>
          <t>Limited Sharing</t>
        </is>
      </c>
      <c r="E16" s="10" t="inlineStr">
        <is>
          <t>Treat similar to LV power.</t>
        </is>
      </c>
    </row>
    <row r="17" ht="28.8" customHeight="1" s="13">
      <c r="A17" s="10" t="inlineStr">
        <is>
          <t>Speaker 100V</t>
        </is>
      </c>
      <c r="B17" s="10" t="inlineStr">
        <is>
          <t>100V or below</t>
        </is>
      </c>
      <c r="C17" s="10" t="inlineStr">
        <is>
          <t>Telecom</t>
        </is>
      </c>
      <c r="D17" s="10" t="inlineStr">
        <is>
          <t>Normally Separated</t>
        </is>
      </c>
      <c r="E17" s="10" t="inlineStr">
        <is>
          <t>Separate from UTP and low level signal systems.</t>
        </is>
      </c>
    </row>
    <row r="18" ht="28.8" customHeight="1" s="13">
      <c r="A18" s="10" t="inlineStr">
        <is>
          <t>Beacon 24-48V</t>
        </is>
      </c>
      <c r="B18" s="10" t="inlineStr">
        <is>
          <t>60V or below</t>
        </is>
      </c>
      <c r="C18" s="10" t="inlineStr">
        <is>
          <t>Instrument</t>
        </is>
      </c>
      <c r="D18" s="10" t="inlineStr">
        <is>
          <t>Mostly Not Shareable</t>
        </is>
      </c>
      <c r="E18" s="10" t="inlineStr">
        <is>
          <t>Low voltage signal/control category.</t>
        </is>
      </c>
    </row>
    <row r="19" ht="28.8" customHeight="1" s="13">
      <c r="A19" s="10" t="inlineStr">
        <is>
          <t>Call Station 24-48V</t>
        </is>
      </c>
      <c r="B19" s="10" t="inlineStr">
        <is>
          <t>60V or below</t>
        </is>
      </c>
      <c r="C19" s="10" t="inlineStr">
        <is>
          <t>Instrument</t>
        </is>
      </c>
      <c r="D19" s="10" t="inlineStr">
        <is>
          <t>Mostly Not Shareable</t>
        </is>
      </c>
      <c r="E19" s="10" t="inlineStr">
        <is>
          <t>Low voltage signal/control category.</t>
        </is>
      </c>
    </row>
    <row r="20" ht="28.8" customHeight="1" s="13">
      <c r="A20" s="10" t="inlineStr">
        <is>
          <t>Analog Tel 24-48V</t>
        </is>
      </c>
      <c r="B20" s="10" t="inlineStr">
        <is>
          <t>60V or below</t>
        </is>
      </c>
      <c r="C20" s="10" t="inlineStr">
        <is>
          <t>Telecom</t>
        </is>
      </c>
      <c r="D20" s="10" t="inlineStr">
        <is>
          <t>Mostly Not Shareable</t>
        </is>
      </c>
      <c r="E20" s="10" t="inlineStr">
        <is>
          <t>Low voltage telecom/signal category.</t>
        </is>
      </c>
    </row>
    <row r="21" ht="43.2" customHeight="1" s="13">
      <c r="A21" s="10" t="inlineStr">
        <is>
          <t>UTP 5V</t>
        </is>
      </c>
      <c r="B21" s="10" t="inlineStr">
        <is>
          <t>60V or below</t>
        </is>
      </c>
      <c r="C21" s="10" t="inlineStr">
        <is>
          <t>Telecom</t>
        </is>
      </c>
      <c r="D21" s="10" t="inlineStr">
        <is>
          <t>Mostly Not Shareable</t>
        </is>
      </c>
      <c r="E21" s="10" t="inlineStr">
        <is>
          <t>Sensitive data cable. Separate from 100V speaker and power.</t>
        </is>
      </c>
    </row>
    <row r="22" ht="43.2" customHeight="1" s="13">
      <c r="A22" s="10" t="inlineStr">
        <is>
          <t>Signal under 24V</t>
        </is>
      </c>
      <c r="B22" s="10" t="inlineStr">
        <is>
          <t>60V or below</t>
        </is>
      </c>
      <c r="C22" s="10" t="inlineStr">
        <is>
          <t>Instrument</t>
        </is>
      </c>
      <c r="D22" s="10" t="inlineStr">
        <is>
          <t>Mostly Not Shareable</t>
        </is>
      </c>
      <c r="E22" s="10" t="inlineStr">
        <is>
          <t>Sensitive signal cable. Separate from 100V speaker and power.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1" sqref="A11:B11"/>
    </sheetView>
  </sheetViews>
  <sheetFormatPr baseColWidth="8" defaultRowHeight="14.4"/>
  <cols>
    <col width="25" customWidth="1" style="13" min="1" max="1"/>
    <col width="110" customWidth="1" style="13" min="2" max="2"/>
  </cols>
  <sheetData>
    <row r="1" ht="18" customHeight="1" s="13">
      <c r="A1" s="11" t="inlineStr">
        <is>
          <t>Cable Routing Decision Logic</t>
        </is>
      </c>
    </row>
    <row r="3">
      <c r="A3" s="1" t="inlineStr">
        <is>
          <t>Rule</t>
        </is>
      </c>
      <c r="B3" s="1" t="inlineStr">
        <is>
          <t>Logic Applied</t>
        </is>
      </c>
    </row>
    <row r="4" ht="28.8" customHeight="1" s="13">
      <c r="A4" s="8" t="inlineStr">
        <is>
          <t>Area override</t>
        </is>
      </c>
      <c r="B4" s="8" t="inlineStr">
        <is>
          <t>Indoor and Control Room are treated as very limited sharing. Sharing is generally rejected unless project-specific approval is granted.</t>
        </is>
      </c>
    </row>
    <row r="5">
      <c r="A5" s="8" t="inlineStr">
        <is>
          <t>Same tray not considered</t>
        </is>
      </c>
      <c r="B5" s="8" t="inlineStr">
        <is>
          <t>If Same Tray Considered is No, use separate tray or trench and separator is Not Applicable.</t>
        </is>
      </c>
    </row>
    <row r="6">
      <c r="A6" s="8" t="inlineStr">
        <is>
          <t>FO Cable</t>
        </is>
      </c>
      <c r="B6" s="8" t="inlineStr">
        <is>
          <t>FO cable is generally shareable, but area and schedule checks still apply.</t>
        </is>
      </c>
    </row>
    <row r="7" ht="28.8" customHeight="1" s="13">
      <c r="A7" s="8" t="inlineStr">
        <is>
          <t>Power 400/230V or Beacon 230V</t>
        </is>
      </c>
      <c r="B7" s="8" t="inlineStr">
        <is>
          <t>Sharing is limited. If same tray is considered, separator and separation review are required.</t>
        </is>
      </c>
    </row>
    <row r="8">
      <c r="A8" s="8" t="inlineStr">
        <is>
          <t>Speaker 100V</t>
        </is>
      </c>
      <c r="B8" s="8" t="inlineStr">
        <is>
          <t>Speaker 100V shall be separated from UTP and low-level signal systems.</t>
        </is>
      </c>
    </row>
    <row r="9">
      <c r="A9" s="8" t="inlineStr">
        <is>
          <t>UTP or Signal under 24V</t>
        </is>
      </c>
      <c r="B9" s="8" t="inlineStr">
        <is>
          <t>UTP and low-level signal systems are mostly not shareable with power or 100V speaker.</t>
        </is>
      </c>
    </row>
    <row r="10">
      <c r="A10" s="8" t="inlineStr">
        <is>
          <t>Separator check</t>
        </is>
      </c>
      <c r="B10" s="8" t="inlineStr">
        <is>
          <t>If separator is mandatory but not applied, sharing is rejected.</t>
        </is>
      </c>
    </row>
    <row r="11">
      <c r="A11" s="8" t="inlineStr">
        <is>
          <t>Schedule check</t>
        </is>
      </c>
      <c r="B11" s="8" t="inlineStr">
        <is>
          <t>If same tray installation is in different construction phases, sharing is rejected for constructability reasons.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24" customWidth="1" style="13" min="1" max="7"/>
  </cols>
  <sheetData>
    <row r="1">
      <c r="A1" s="1" t="inlineStr">
        <is>
          <t>Route Code</t>
        </is>
      </c>
      <c r="B1" s="1" t="inlineStr">
        <is>
          <t>Area</t>
        </is>
      </c>
      <c r="C1" s="1" t="inlineStr">
        <is>
          <t>Typical Route Model</t>
        </is>
      </c>
      <c r="D1" s="1" t="inlineStr">
        <is>
          <t>Default Owner</t>
        </is>
      </c>
      <c r="E1" s="1" t="inlineStr">
        <is>
          <t>Description</t>
        </is>
      </c>
    </row>
    <row r="2" ht="43.2" customHeight="1" s="13">
      <c r="A2" s="10" t="inlineStr">
        <is>
          <t>TR-01</t>
        </is>
      </c>
      <c r="B2" s="10" t="inlineStr">
        <is>
          <t>Outdoor</t>
        </is>
      </c>
      <c r="C2" s="10" t="inlineStr">
        <is>
          <t>Outdoor Common Route</t>
        </is>
      </c>
      <c r="D2" s="10" t="inlineStr">
        <is>
          <t>Common Route Lead</t>
        </is>
      </c>
      <c r="E2" s="10" t="inlineStr">
        <is>
          <t>Main outdoor shared route along process unit or pipe rack. Flexible with review.</t>
        </is>
      </c>
    </row>
    <row r="3" ht="43.2" customHeight="1" s="13">
      <c r="A3" s="10" t="inlineStr">
        <is>
          <t>TR-02</t>
        </is>
      </c>
      <c r="B3" s="10" t="inlineStr">
        <is>
          <t>Outdoor</t>
        </is>
      </c>
      <c r="C3" s="10" t="inlineStr">
        <is>
          <t>Roadside Tray or Trench</t>
        </is>
      </c>
      <c r="D3" s="10" t="inlineStr">
        <is>
          <t>Common Route Lead</t>
        </is>
      </c>
      <c r="E3" s="10" t="inlineStr">
        <is>
          <t>Roadside tray or trench arrangement for inter-area routing.</t>
        </is>
      </c>
    </row>
    <row r="4" ht="43.2" customHeight="1" s="13">
      <c r="A4" s="10" t="inlineStr">
        <is>
          <t>TR-03</t>
        </is>
      </c>
      <c r="B4" s="10" t="inlineStr">
        <is>
          <t>Indoor</t>
        </is>
      </c>
      <c r="C4" s="10" t="inlineStr">
        <is>
          <t>Building Entry Segregated Route</t>
        </is>
      </c>
      <c r="D4" s="10" t="inlineStr">
        <is>
          <t>Engineering Manager</t>
        </is>
      </c>
      <c r="E4" s="10" t="inlineStr">
        <is>
          <t>Building entry area with controlled separation and limited sharing.</t>
        </is>
      </c>
    </row>
    <row r="5" ht="43.2" customHeight="1" s="13">
      <c r="A5" s="10" t="inlineStr">
        <is>
          <t>TR-04</t>
        </is>
      </c>
      <c r="B5" s="10" t="inlineStr">
        <is>
          <t>Control Room</t>
        </is>
      </c>
      <c r="C5" s="10" t="inlineStr">
        <is>
          <t>Control Room Dedicated Route</t>
        </is>
      </c>
      <c r="D5" s="10" t="inlineStr">
        <is>
          <t>Engineering Manager</t>
        </is>
      </c>
      <c r="E5" s="10" t="inlineStr">
        <is>
          <t>Dedicated and highly restricted route inside control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2026-06-01T04:48:51Z</dcterms:created>
  <dcterms:modified xmlns:dcterms="http://purl.org/dc/terms/" xmlns:xsi="http://www.w3.org/2001/XMLSchema-instance" xsi:type="dcterms:W3CDTF">2026-06-02T01:27:13Z</dcterms:modified>
  <cp:lastModifiedBy>제제헬프랑카(JEZEHEL FRANCA) 책임매니저</cp:lastModifiedBy>
</cp:coreProperties>
</file>