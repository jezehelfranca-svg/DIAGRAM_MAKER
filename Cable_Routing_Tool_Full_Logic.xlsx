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Telecom Enhancement\"/>
    </mc:Choice>
  </mc:AlternateContent>
  <xr:revisionPtr revIDLastSave="0" documentId="13_ncr:1_{CC5570FA-D88A-4634-A1BC-A0023340B3F2}" xr6:coauthVersionLast="47" xr6:coauthVersionMax="47" xr10:uidLastSave="{00000000-0000-0000-0000-000000000000}"/>
  <bookViews>
    <workbookView xWindow="28680" yWindow="-1950" windowWidth="29040" windowHeight="17640" xr2:uid="{00000000-000D-0000-FFFF-FFFF00000000}"/>
  </bookViews>
  <sheets>
    <sheet name="Routing Decision Tool" sheetId="1" r:id="rId1"/>
    <sheet name="Reference Data" sheetId="2" r:id="rId2"/>
    <sheet name="Decision Rules" sheetId="3" r:id="rId3"/>
    <sheet name="Typical Route Model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1" l="1"/>
  <c r="E11" i="1"/>
  <c r="E10" i="1"/>
  <c r="E9" i="1"/>
  <c r="E8" i="1"/>
  <c r="E7" i="1"/>
  <c r="E6" i="1"/>
  <c r="E5" i="1"/>
  <c r="E4" i="1"/>
  <c r="B14" i="1" l="1"/>
  <c r="B16" i="1" s="1"/>
  <c r="B13" i="1" l="1"/>
  <c r="B20" i="1" s="1"/>
  <c r="B15" i="1"/>
  <c r="B19" i="1" l="1"/>
  <c r="B18" i="1"/>
</calcChain>
</file>

<file path=xl/sharedStrings.xml><?xml version="1.0" encoding="utf-8"?>
<sst xmlns="http://schemas.openxmlformats.org/spreadsheetml/2006/main" count="154" uniqueCount="106">
  <si>
    <t>Cable Routing Decision Tool with Full Logic</t>
  </si>
  <si>
    <t>Input Item</t>
  </si>
  <si>
    <t>Selection / Value</t>
  </si>
  <si>
    <t>Area</t>
  </si>
  <si>
    <t>Outdoor</t>
  </si>
  <si>
    <t>Primary Voltage Category</t>
  </si>
  <si>
    <t>Primary System Type</t>
  </si>
  <si>
    <t>FO Cable</t>
  </si>
  <si>
    <t>Shared Voltage Category</t>
  </si>
  <si>
    <t>Shared With System Type</t>
  </si>
  <si>
    <t>Power 400/230V</t>
  </si>
  <si>
    <t>Primary Philosophy</t>
  </si>
  <si>
    <t>Same Tray Considered</t>
  </si>
  <si>
    <t>Yes</t>
  </si>
  <si>
    <t>Shared Philosophy</t>
  </si>
  <si>
    <t>Separator Applied</t>
  </si>
  <si>
    <t>Speaker and Low Signal Conflict</t>
  </si>
  <si>
    <t>Construction Schedule</t>
  </si>
  <si>
    <t>Same Phase</t>
  </si>
  <si>
    <t>Power Involved</t>
  </si>
  <si>
    <t>Tray Spare Percentage</t>
  </si>
  <si>
    <t>Low Signal Involved</t>
  </si>
  <si>
    <t>Indoor Restriction</t>
  </si>
  <si>
    <t>Automatic Decision Output</t>
  </si>
  <si>
    <t>Result</t>
  </si>
  <si>
    <t>Sharing Allowed</t>
  </si>
  <si>
    <t>Separator Mandatory</t>
  </si>
  <si>
    <t>Dedicated Tray Required</t>
  </si>
  <si>
    <t>Separation Review Required</t>
  </si>
  <si>
    <t>Construction Schedule Compatible</t>
  </si>
  <si>
    <t>Typical Route Model</t>
  </si>
  <si>
    <t>Final Decision Owner</t>
  </si>
  <si>
    <t>Decision Summary</t>
  </si>
  <si>
    <t>Owner Discussion Notes</t>
  </si>
  <si>
    <t>Use this area to record project-specific agreements, exceptions, or Owner comments. Any exception to automatic decision output should be approved by the Final Decision Owner.</t>
  </si>
  <si>
    <t>System Type</t>
  </si>
  <si>
    <t>Same Tray</t>
  </si>
  <si>
    <t>Indoor</t>
  </si>
  <si>
    <t>No</t>
  </si>
  <si>
    <t>Different Phase</t>
  </si>
  <si>
    <t>Control Room</t>
  </si>
  <si>
    <t>Beacon 230V</t>
  </si>
  <si>
    <t>Not Applicable</t>
  </si>
  <si>
    <t>Speaker 100V</t>
  </si>
  <si>
    <t>Beacon 24-48V</t>
  </si>
  <si>
    <t>Call Station 24-48V</t>
  </si>
  <si>
    <t>Analog Tel 24-48V</t>
  </si>
  <si>
    <t>UTP 5V</t>
  </si>
  <si>
    <t>Signal under 24V</t>
  </si>
  <si>
    <t>Voltage Category</t>
  </si>
  <si>
    <t>Discipline</t>
  </si>
  <si>
    <t>Default Sharing Philosophy</t>
  </si>
  <si>
    <t>Notes</t>
  </si>
  <si>
    <t>Voltage Independent</t>
  </si>
  <si>
    <t>Telecom</t>
  </si>
  <si>
    <t>Generally Shareable</t>
  </si>
  <si>
    <t>Normally shareable subject to routing and installation protection.</t>
  </si>
  <si>
    <t>400V or below</t>
  </si>
  <si>
    <t>Electrical</t>
  </si>
  <si>
    <t>Limited Sharing</t>
  </si>
  <si>
    <t>Separator and separation review typically required when sharing.</t>
  </si>
  <si>
    <t>Treat similar to LV power.</t>
  </si>
  <si>
    <t>100V or below</t>
  </si>
  <si>
    <t>Normally Separated</t>
  </si>
  <si>
    <t>Separate from UTP and low level signal systems.</t>
  </si>
  <si>
    <t>60V or below</t>
  </si>
  <si>
    <t>Instrument</t>
  </si>
  <si>
    <t>Mostly Not Shareable</t>
  </si>
  <si>
    <t>Low voltage signal/control category.</t>
  </si>
  <si>
    <t>Low voltage telecom/signal category.</t>
  </si>
  <si>
    <t>Sensitive data cable. Separate from 100V speaker and power.</t>
  </si>
  <si>
    <t>Sensitive signal cable. Separate from 100V speaker and power.</t>
  </si>
  <si>
    <t>Cable Routing Decision Logic</t>
  </si>
  <si>
    <t>Rule</t>
  </si>
  <si>
    <t>Logic Applied</t>
  </si>
  <si>
    <t>Area override</t>
  </si>
  <si>
    <t>Indoor and Control Room are treated as very limited sharing. Sharing is generally rejected unless project-specific approval is granted.</t>
  </si>
  <si>
    <t>Same tray not considered</t>
  </si>
  <si>
    <t>If Same Tray Considered is No, use separate tray or trench and separator is Not Applicable.</t>
  </si>
  <si>
    <t>FO cable is generally shareable, but area and schedule checks still apply.</t>
  </si>
  <si>
    <t>Power 400/230V or Beacon 230V</t>
  </si>
  <si>
    <t>Sharing is limited. If same tray is considered, separator and separation review are required.</t>
  </si>
  <si>
    <t>Speaker 100V shall be separated from UTP and low-level signal systems.</t>
  </si>
  <si>
    <t>UTP or Signal under 24V</t>
  </si>
  <si>
    <t>UTP and low-level signal systems are mostly not shareable with power or 100V speaker.</t>
  </si>
  <si>
    <t>Separator check</t>
  </si>
  <si>
    <t>If separator is mandatory but not applied, sharing is rejected.</t>
  </si>
  <si>
    <t>Schedule check</t>
  </si>
  <si>
    <t>If same tray installation is in different construction phases, sharing is rejected for constructability reasons.</t>
  </si>
  <si>
    <t>Route Code</t>
  </si>
  <si>
    <t>Default Owner</t>
  </si>
  <si>
    <t>Description</t>
  </si>
  <si>
    <t>TR-01</t>
  </si>
  <si>
    <t>Outdoor Common Route</t>
  </si>
  <si>
    <t>Common Route Lead</t>
  </si>
  <si>
    <t>Main outdoor shared route along process unit or pipe rack. Flexible with review.</t>
  </si>
  <si>
    <t>TR-02</t>
  </si>
  <si>
    <t>Roadside Tray or Trench</t>
  </si>
  <si>
    <t>Roadside tray or trench arrangement for inter-area routing.</t>
  </si>
  <si>
    <t>TR-03</t>
  </si>
  <si>
    <t>Building Entry Segregated Route</t>
  </si>
  <si>
    <t>Engineering Manager</t>
  </si>
  <si>
    <t>Building entry area with controlled separation and limited sharing.</t>
  </si>
  <si>
    <t>TR-04</t>
  </si>
  <si>
    <t>Control Room Dedicated Route</t>
  </si>
  <si>
    <t>Dedicated and highly restricted route inside control room.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</si>
</sst>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name val="Calibri"/>
    </font>
    <font>
      <b/>
      <sz val="14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/>
    <xf numFmtId="0" fontId="4" fillId="3" borderId="1" xfId="0" applyFont="1" applyFill="1" applyBorder="1"/>
    <xf numFmtId="0" fontId="0" fillId="0" borderId="1" xfId="0" applyBorder="1" applyProtection="1">
      <protection locked="0"/>
    </xf>
    <xf numFmtId="0" fontId="4" fillId="5" borderId="1" xfId="0" applyFont="1" applyFill="1" applyBorder="1"/>
    <xf numFmtId="0" fontId="0" fillId="0" borderId="1" xfId="0" applyBorder="1"/>
    <xf numFmtId="9" fontId="0" fillId="0" borderId="1" xfId="0" applyNumberFormat="1" applyBorder="1" applyProtection="1">
      <protection locked="0"/>
    </xf>
    <xf numFmtId="0" fontId="4" fillId="4" borderId="1" xfId="0" applyFont="1" applyFill="1" applyBorder="1"/>
    <xf numFmtId="0" fontId="0" fillId="0" borderId="1" xfId="0" applyBorder="1" applyAlignment="1">
      <alignment vertical="top" wrapText="1"/>
    </xf>
    <xf numFmtId="0" fontId="0" fillId="3" borderId="1" xfId="0" applyFill="1" applyBorder="1"/>
    <xf numFmtId="0" fontId="0" fillId="0" borderId="1" xfId="0" applyBorder="1" applyAlignment="1">
      <alignment wrapText="1"/>
    </xf>
    <xf numFmtId="0" fontId="2" fillId="0" borderId="0" xfId="0" applyFont="1"/>
    <xf numFmtId="0" fontId="0" fillId="0" borderId="1" xfId="0" applyBorder="1" applyAlignment="1" applyProtection="1">
      <alignment vertical="top" wrapText="1"/>
      <protection locked="0"/>
    </xf>
    <xf numFmtId="0" fontId="0" fillId="0" borderId="0" xfId="0"/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3">
    <dxf>
      <fill>
        <patternFill patternType="solid">
          <fgColor rgb="FFFFF2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E2F0D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ypicalRouteModels" displayName="TypicalRouteModels" ref="A1:E5">
  <autoFilter ref="A1:E5" xr:uid="{00000000-0009-0000-0100-000001000000}"/>
  <tableColumns count="5">
    <tableColumn id="1" xr3:uid="{00000000-0010-0000-0000-000001000000}" name="Route Code"/>
    <tableColumn id="2" xr3:uid="{00000000-0010-0000-0000-000002000000}" name="Area"/>
    <tableColumn id="3" xr3:uid="{00000000-0010-0000-0000-000003000000}" name="Typical Route Model"/>
    <tableColumn id="4" xr3:uid="{00000000-0010-0000-0000-000004000000}" name="Default Owner"/>
    <tableColumn id="5" xr3:uid="{00000000-0010-0000-0000-000005000000}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workbookViewId="0">
      <pane ySplit="3" topLeftCell="A4" activePane="bottomLeft" state="frozen"/>
      <selection pane="bottomLeft" activeCell="F15" sqref="F15"/>
    </sheetView>
  </sheetViews>
  <sheetFormatPr defaultRowHeight="14.4" x14ac:dyDescent="0.3"/>
  <cols>
    <col min="1" max="1" width="30" customWidth="1"/>
    <col min="2" max="2" width="34" customWidth="1"/>
    <col min="3" max="3" width="24" customWidth="1"/>
    <col min="4" max="5" width="24" hidden="1" customWidth="1"/>
    <col min="6" max="7" width="24" customWidth="1"/>
  </cols>
  <sheetData>
    <row r="1" spans="1:6" ht="18" x14ac:dyDescent="0.35">
      <c r="A1" s="14" t="s">
        <v>0</v>
      </c>
      <c r="B1" s="13"/>
      <c r="C1" s="13"/>
      <c r="D1" s="13"/>
      <c r="E1" s="13"/>
      <c r="F1" s="13"/>
    </row>
    <row r="3" spans="1:6" x14ac:dyDescent="0.3">
      <c r="A3" s="1" t="s">
        <v>1</v>
      </c>
      <c r="B3" s="1" t="s">
        <v>2</v>
      </c>
    </row>
    <row r="4" spans="1:6" x14ac:dyDescent="0.3">
      <c r="A4" s="2" t="s">
        <v>3</v>
      </c>
      <c r="B4" s="3" t="s">
        <v>4</v>
      </c>
      <c r="D4" s="4" t="s">
        <v>5</v>
      </c>
      <c r="E4" s="5" t="str">
        <f>IFERROR(VLOOKUP($B$5,'Reference Data'!$A$14:$E$22,2,FALSE),"")</f>
        <v>400V or below</v>
      </c>
    </row>
    <row r="5" spans="1:6" x14ac:dyDescent="0.3">
      <c r="A5" s="2" t="s">
        <v>6</v>
      </c>
      <c r="B5" s="3" t="s">
        <v>10</v>
      </c>
      <c r="D5" s="4" t="s">
        <v>8</v>
      </c>
      <c r="E5" s="5" t="str">
        <f>IFERROR(VLOOKUP($B$6,'Reference Data'!$A$14:$E$22,2,FALSE),"")</f>
        <v>100V or below</v>
      </c>
    </row>
    <row r="6" spans="1:6" x14ac:dyDescent="0.3">
      <c r="A6" s="2" t="s">
        <v>9</v>
      </c>
      <c r="B6" s="3" t="s">
        <v>43</v>
      </c>
      <c r="D6" s="4" t="s">
        <v>11</v>
      </c>
      <c r="E6" s="5" t="str">
        <f>IFERROR(VLOOKUP($B$5,'Reference Data'!$A$14:$E$22,4,FALSE),"")</f>
        <v>Limited Sharing</v>
      </c>
    </row>
    <row r="7" spans="1:6" x14ac:dyDescent="0.3">
      <c r="A7" s="2" t="s">
        <v>12</v>
      </c>
      <c r="B7" s="3" t="s">
        <v>13</v>
      </c>
      <c r="D7" s="4" t="s">
        <v>14</v>
      </c>
      <c r="E7" s="5" t="str">
        <f>IFERROR(VLOOKUP($B$6,'Reference Data'!$A$14:$E$22,4,FALSE),"")</f>
        <v>Normally Separated</v>
      </c>
    </row>
    <row r="8" spans="1:6" x14ac:dyDescent="0.3">
      <c r="A8" s="2" t="s">
        <v>15</v>
      </c>
      <c r="B8" s="3" t="s">
        <v>13</v>
      </c>
      <c r="D8" s="4" t="s">
        <v>16</v>
      </c>
      <c r="E8" s="5" t="str">
        <f>IF(AND(OR($B$5="Speaker 100V",$B$6="Speaker 100V"),OR($B$5="UTP 5V",$B$5="Signal under 24V",$B$5="Beacon 24-48V",$B$5="Call Station 24-48V",$B$5="Analog Tel 24-48V",$B$6="UTP 5V",$B$6="Signal under 24V",$B$6="Beacon 24-48V",$B$6="Call Station 24-48V",$B$6="Analog Tel 24-48V")),"Yes","No")</f>
        <v>No</v>
      </c>
    </row>
    <row r="9" spans="1:6" x14ac:dyDescent="0.3">
      <c r="A9" s="2" t="s">
        <v>17</v>
      </c>
      <c r="B9" s="3" t="s">
        <v>39</v>
      </c>
      <c r="D9" s="4" t="s">
        <v>19</v>
      </c>
      <c r="E9" s="5" t="str">
        <f>IF(OR($B$5="Power 400/230V",$B$5="Beacon 230V",$B$6="Power 400/230V",$B$6="Beacon 230V"),"Yes","No")</f>
        <v>Yes</v>
      </c>
    </row>
    <row r="10" spans="1:6" x14ac:dyDescent="0.3">
      <c r="A10" s="2" t="s">
        <v>20</v>
      </c>
      <c r="B10" s="6">
        <v>0.2</v>
      </c>
      <c r="D10" s="4" t="s">
        <v>21</v>
      </c>
      <c r="E10" s="5" t="str">
        <f>IF(OR($B$5="UTP 5V",$B$5="Signal under 24V",$B$5="Beacon 24-48V",$B$5="Call Station 24-48V",$B$5="Analog Tel 24-48V",$B$6="UTP 5V",$B$6="Signal under 24V",$B$6="Beacon 24-48V",$B$6="Call Station 24-48V",$B$6="Analog Tel 24-48V"),"Yes","No")</f>
        <v>No</v>
      </c>
    </row>
    <row r="11" spans="1:6" x14ac:dyDescent="0.3">
      <c r="D11" s="4" t="s">
        <v>22</v>
      </c>
      <c r="E11" s="5" t="str">
        <f>IF(OR($B$4="Indoor",$B$4="Control Room"),"Yes","No")</f>
        <v>No</v>
      </c>
    </row>
    <row r="12" spans="1:6" x14ac:dyDescent="0.3">
      <c r="A12" s="1" t="s">
        <v>23</v>
      </c>
      <c r="B12" s="1" t="s">
        <v>24</v>
      </c>
    </row>
    <row r="13" spans="1:6" x14ac:dyDescent="0.3">
      <c r="A13" s="7" t="s">
        <v>25</v>
      </c>
      <c r="B13" s="8" t="str">
        <f>IF($B$7="No","No",IF($E$11="Yes","No",IF($E$8="Yes","No",IF($B$17="No","No",IF(AND($B$14="Yes",$B$8&lt;&gt;"Yes"),"No",IF(OR($E$6="Mostly Not Shareable",$E$7="Mostly Not Shareable"),"No","Yes"))))))</f>
        <v>No</v>
      </c>
    </row>
    <row r="14" spans="1:6" x14ac:dyDescent="0.3">
      <c r="A14" s="7" t="s">
        <v>26</v>
      </c>
      <c r="B14" s="8" t="str">
        <f>IF($B$7="No","Not Applicable",IF(OR($E$8="Yes",AND($E$9="Yes",$E$10="Yes"),AND($E$9="Yes",OR($B$5="FO Cable",$B$6="FO Cable"))),"Yes",IF(AND($B$5="FO Cable",$B$6="FO Cable"),"No","Yes")))</f>
        <v>Yes</v>
      </c>
    </row>
    <row r="15" spans="1:6" x14ac:dyDescent="0.3">
      <c r="A15" s="7" t="s">
        <v>27</v>
      </c>
      <c r="B15" s="8" t="str">
        <f>IF($B$13="Yes","No","Yes")</f>
        <v>Yes</v>
      </c>
    </row>
    <row r="16" spans="1:6" x14ac:dyDescent="0.3">
      <c r="A16" s="7" t="s">
        <v>28</v>
      </c>
      <c r="B16" s="8" t="str">
        <f>IF($B$7="No","No",IF(OR($B$14="Yes",$E$9="Yes",$E$8="Yes",$E$11="Yes"),"Yes","No"))</f>
        <v>Yes</v>
      </c>
    </row>
    <row r="17" spans="1:6" x14ac:dyDescent="0.3">
      <c r="A17" s="7" t="s">
        <v>29</v>
      </c>
      <c r="B17" s="8" t="str">
        <f>IF($B$7="No","Not Applicable",IF($B$9="Same Phase","Yes","No"))</f>
        <v>No</v>
      </c>
    </row>
    <row r="18" spans="1:6" x14ac:dyDescent="0.3">
      <c r="A18" s="7" t="s">
        <v>30</v>
      </c>
      <c r="B18" s="8" t="str">
        <f>IF($B$4="Outdoor",IF($B$15="Yes","TR-02 Roadside Tray or Trench","TR-01 Outdoor Common Route"),IF($B$4="Indoor","TR-03 Building Entry Segregated Route","TR-04 Control Room Dedicated Route"))</f>
        <v>TR-02 Roadside Tray or Trench</v>
      </c>
    </row>
    <row r="19" spans="1:6" x14ac:dyDescent="0.3">
      <c r="A19" s="7" t="s">
        <v>31</v>
      </c>
      <c r="B19" s="8" t="str">
        <f>IF($B$4="Control Room","Engineering Manager",IF($B$15="Yes","Common Route Lead",IF(OR($B$5="FO Cable",$B$6="FO Cable",$B$5="Speaker 100V",$B$6="Speaker 100V",$B$5="UTP 5V",$B$6="UTP 5V"),"Telecom Lead",IF($E$9="Yes","Electrical Lead","Instrument Lead"))))</f>
        <v>Common Route Lead</v>
      </c>
    </row>
    <row r="20" spans="1:6" ht="45" customHeight="1" x14ac:dyDescent="0.3">
      <c r="A20" s="7" t="s">
        <v>32</v>
      </c>
      <c r="B20" s="8" t="str">
        <f>IF($B$13="Yes","Sharing acceptable. Apply stated separator and review requirements before final approval.","Sharing not recommended. Use dedicated tray or trench and confirm final route owner.")</f>
        <v>Sharing not recommended. Use dedicated tray or trench and confirm final route owner.</v>
      </c>
    </row>
    <row r="22" spans="1:6" x14ac:dyDescent="0.3">
      <c r="A22" s="1" t="s">
        <v>33</v>
      </c>
    </row>
    <row r="23" spans="1:6" x14ac:dyDescent="0.3">
      <c r="A23" s="12" t="s">
        <v>34</v>
      </c>
      <c r="B23" s="13"/>
      <c r="C23" s="13"/>
      <c r="D23" s="13"/>
      <c r="E23" s="13"/>
      <c r="F23" s="13"/>
    </row>
    <row r="24" spans="1:6" x14ac:dyDescent="0.3">
      <c r="A24" s="13"/>
      <c r="B24" s="13"/>
      <c r="C24" s="13"/>
      <c r="D24" s="13"/>
      <c r="E24" s="13"/>
      <c r="F24" s="13"/>
    </row>
    <row r="25" spans="1:6" x14ac:dyDescent="0.3">
      <c r="A25" s="13"/>
      <c r="B25" s="13"/>
      <c r="C25" s="13"/>
      <c r="D25" s="13"/>
      <c r="E25" s="13"/>
      <c r="F25" s="13"/>
    </row>
    <row r="26" spans="1:6" x14ac:dyDescent="0.3">
      <c r="A26" s="13"/>
      <c r="B26" s="13"/>
      <c r="C26" s="13"/>
      <c r="D26" s="13"/>
      <c r="E26" s="13"/>
      <c r="F26" s="13"/>
    </row>
    <row r="27" spans="1:6" x14ac:dyDescent="0.3">
      <c r="A27" s="13"/>
      <c r="B27" s="13"/>
      <c r="C27" s="13"/>
      <c r="D27" s="13"/>
      <c r="E27" s="13"/>
      <c r="F27" s="13"/>
    </row>
  </sheetData>
  <sheetProtection sheet="1"/>
  <mergeCells count="2">
    <mergeCell ref="A23:F27"/>
    <mergeCell ref="A1:F1"/>
  </mergeCells>
  <conditionalFormatting sqref="B13:B17">
    <cfRule type="expression" dxfId="2" priority="1">
      <formula>B13="Yes"</formula>
    </cfRule>
    <cfRule type="expression" dxfId="1" priority="2">
      <formula>B13="No"</formula>
    </cfRule>
  </conditionalFormatting>
  <conditionalFormatting sqref="B14:B17">
    <cfRule type="expression" dxfId="0" priority="3">
      <formula>B14="Yes"</formula>
    </cfRule>
  </conditionalFormatting>
  <dataValidations count="1">
    <dataValidation type="decimal" sqref="B10" xr:uid="{00000000-0002-0000-0000-000006000000}">
      <formula1>0</formula1>
      <formula2>1</formula2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xr:uid="{00000000-0002-0000-0000-000000000000}">
          <x14:formula1>
            <xm:f>'Reference Data'!$A$2:$A$4</xm:f>
          </x14:formula1>
          <xm:sqref>B4</xm:sqref>
        </x14:dataValidation>
        <x14:dataValidation type="list" xr:uid="{00000000-0002-0000-0000-000001000000}">
          <x14:formula1>
            <xm:f>'Reference Data'!$C$2:$C$10</xm:f>
          </x14:formula1>
          <xm:sqref>B5:B6</xm:sqref>
        </x14:dataValidation>
        <x14:dataValidation type="list" xr:uid="{00000000-0002-0000-0000-000003000000}">
          <x14:formula1>
            <xm:f>'Reference Data'!$E$2:$E$3</xm:f>
          </x14:formula1>
          <xm:sqref>B7</xm:sqref>
        </x14:dataValidation>
        <x14:dataValidation type="list" xr:uid="{00000000-0002-0000-0000-000004000000}">
          <x14:formula1>
            <xm:f>'Reference Data'!$G$2:$G$4</xm:f>
          </x14:formula1>
          <xm:sqref>B8</xm:sqref>
        </x14:dataValidation>
        <x14:dataValidation type="list" xr:uid="{00000000-0002-0000-0000-000005000000}">
          <x14:formula1>
            <xm:f>'Reference Data'!$I$2:$I$3</xm:f>
          </x14:formula1>
          <xm:sqref>B9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2"/>
  <sheetViews>
    <sheetView workbookViewId="0">
      <pane ySplit="1" topLeftCell="A2" activePane="bottomLeft" state="frozen"/>
      <selection pane="bottomLeft" activeCell="C2" sqref="C2:C9"/>
    </sheetView>
  </sheetViews>
  <sheetFormatPr defaultRowHeight="14.4" x14ac:dyDescent="0.3"/>
  <cols>
    <col min="1" max="7" width="24" customWidth="1"/>
    <col min="9" max="9" width="18.44140625" customWidth="1"/>
  </cols>
  <sheetData>
    <row r="1" spans="1:9" x14ac:dyDescent="0.3">
      <c r="A1" s="1" t="s">
        <v>3</v>
      </c>
      <c r="C1" s="1" t="s">
        <v>35</v>
      </c>
      <c r="E1" s="1" t="s">
        <v>36</v>
      </c>
      <c r="G1" s="1" t="s">
        <v>15</v>
      </c>
      <c r="I1" s="1" t="s">
        <v>17</v>
      </c>
    </row>
    <row r="2" spans="1:9" x14ac:dyDescent="0.3">
      <c r="A2" s="9" t="s">
        <v>4</v>
      </c>
      <c r="C2" s="9" t="s">
        <v>7</v>
      </c>
      <c r="E2" s="9" t="s">
        <v>13</v>
      </c>
      <c r="G2" s="9" t="s">
        <v>13</v>
      </c>
      <c r="I2" s="9" t="s">
        <v>18</v>
      </c>
    </row>
    <row r="3" spans="1:9" x14ac:dyDescent="0.3">
      <c r="A3" s="9" t="s">
        <v>37</v>
      </c>
      <c r="C3" s="9" t="s">
        <v>10</v>
      </c>
      <c r="E3" s="9" t="s">
        <v>38</v>
      </c>
      <c r="G3" s="9" t="s">
        <v>38</v>
      </c>
      <c r="I3" s="9" t="s">
        <v>39</v>
      </c>
    </row>
    <row r="4" spans="1:9" x14ac:dyDescent="0.3">
      <c r="A4" s="9" t="s">
        <v>40</v>
      </c>
      <c r="C4" s="9" t="s">
        <v>41</v>
      </c>
      <c r="G4" s="9" t="s">
        <v>42</v>
      </c>
    </row>
    <row r="5" spans="1:9" x14ac:dyDescent="0.3">
      <c r="C5" s="9" t="s">
        <v>43</v>
      </c>
    </row>
    <row r="6" spans="1:9" x14ac:dyDescent="0.3">
      <c r="C6" s="9" t="s">
        <v>44</v>
      </c>
    </row>
    <row r="7" spans="1:9" x14ac:dyDescent="0.3">
      <c r="C7" s="9" t="s">
        <v>45</v>
      </c>
    </row>
    <row r="8" spans="1:9" x14ac:dyDescent="0.3">
      <c r="C8" s="9" t="s">
        <v>46</v>
      </c>
    </row>
    <row r="9" spans="1:9" x14ac:dyDescent="0.3">
      <c r="C9" s="9" t="s">
        <v>47</v>
      </c>
    </row>
    <row r="10" spans="1:9" x14ac:dyDescent="0.3">
      <c r="C10" s="9" t="s">
        <v>48</v>
      </c>
    </row>
    <row r="13" spans="1:9" x14ac:dyDescent="0.3">
      <c r="A13" s="1" t="s">
        <v>35</v>
      </c>
      <c r="B13" s="1" t="s">
        <v>49</v>
      </c>
      <c r="C13" s="1" t="s">
        <v>50</v>
      </c>
      <c r="D13" s="1" t="s">
        <v>51</v>
      </c>
      <c r="E13" s="1" t="s">
        <v>52</v>
      </c>
    </row>
    <row r="14" spans="1:9" ht="43.2" x14ac:dyDescent="0.3">
      <c r="A14" s="10" t="s">
        <v>7</v>
      </c>
      <c r="B14" s="10" t="s">
        <v>53</v>
      </c>
      <c r="C14" s="10" t="s">
        <v>54</v>
      </c>
      <c r="D14" s="10" t="s">
        <v>55</v>
      </c>
      <c r="E14" s="10" t="s">
        <v>56</v>
      </c>
    </row>
    <row r="15" spans="1:9" ht="43.2" x14ac:dyDescent="0.3">
      <c r="A15" s="10" t="s">
        <v>10</v>
      </c>
      <c r="B15" s="10" t="s">
        <v>57</v>
      </c>
      <c r="C15" s="10" t="s">
        <v>58</v>
      </c>
      <c r="D15" s="10" t="s">
        <v>59</v>
      </c>
      <c r="E15" s="10" t="s">
        <v>60</v>
      </c>
    </row>
    <row r="16" spans="1:9" x14ac:dyDescent="0.3">
      <c r="A16" s="10" t="s">
        <v>41</v>
      </c>
      <c r="B16" s="10" t="s">
        <v>57</v>
      </c>
      <c r="C16" s="10" t="s">
        <v>58</v>
      </c>
      <c r="D16" s="10" t="s">
        <v>59</v>
      </c>
      <c r="E16" s="10" t="s">
        <v>61</v>
      </c>
    </row>
    <row r="17" spans="1:5" ht="28.8" x14ac:dyDescent="0.3">
      <c r="A17" s="10" t="s">
        <v>43</v>
      </c>
      <c r="B17" s="10" t="s">
        <v>62</v>
      </c>
      <c r="C17" s="10" t="s">
        <v>54</v>
      </c>
      <c r="D17" s="10" t="s">
        <v>63</v>
      </c>
      <c r="E17" s="10" t="s">
        <v>64</v>
      </c>
    </row>
    <row r="18" spans="1:5" ht="28.8" x14ac:dyDescent="0.3">
      <c r="A18" s="10" t="s">
        <v>44</v>
      </c>
      <c r="B18" s="10" t="s">
        <v>65</v>
      </c>
      <c r="C18" s="10" t="s">
        <v>66</v>
      </c>
      <c r="D18" s="10" t="s">
        <v>67</v>
      </c>
      <c r="E18" s="10" t="s">
        <v>68</v>
      </c>
    </row>
    <row r="19" spans="1:5" ht="28.8" x14ac:dyDescent="0.3">
      <c r="A19" s="10" t="s">
        <v>45</v>
      </c>
      <c r="B19" s="10" t="s">
        <v>65</v>
      </c>
      <c r="C19" s="10" t="s">
        <v>66</v>
      </c>
      <c r="D19" s="10" t="s">
        <v>67</v>
      </c>
      <c r="E19" s="10" t="s">
        <v>68</v>
      </c>
    </row>
    <row r="20" spans="1:5" ht="28.8" x14ac:dyDescent="0.3">
      <c r="A20" s="10" t="s">
        <v>46</v>
      </c>
      <c r="B20" s="10" t="s">
        <v>65</v>
      </c>
      <c r="C20" s="10" t="s">
        <v>54</v>
      </c>
      <c r="D20" s="10" t="s">
        <v>67</v>
      </c>
      <c r="E20" s="10" t="s">
        <v>69</v>
      </c>
    </row>
    <row r="21" spans="1:5" ht="43.2" x14ac:dyDescent="0.3">
      <c r="A21" s="10" t="s">
        <v>47</v>
      </c>
      <c r="B21" s="10" t="s">
        <v>65</v>
      </c>
      <c r="C21" s="10" t="s">
        <v>54</v>
      </c>
      <c r="D21" s="10" t="s">
        <v>67</v>
      </c>
      <c r="E21" s="10" t="s">
        <v>70</v>
      </c>
    </row>
    <row r="22" spans="1:5" ht="43.2" x14ac:dyDescent="0.3">
      <c r="A22" s="10" t="s">
        <v>48</v>
      </c>
      <c r="B22" s="10" t="s">
        <v>65</v>
      </c>
      <c r="C22" s="10" t="s">
        <v>66</v>
      </c>
      <c r="D22" s="10" t="s">
        <v>67</v>
      </c>
      <c r="E22" s="10" t="s">
        <v>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>
      <selection activeCell="A11" sqref="A11:B11"/>
    </sheetView>
  </sheetViews>
  <sheetFormatPr defaultRowHeight="14.4" x14ac:dyDescent="0.3"/>
  <cols>
    <col min="1" max="1" width="25" customWidth="1"/>
    <col min="2" max="2" width="110" customWidth="1"/>
  </cols>
  <sheetData>
    <row r="1" spans="1:2" ht="18" x14ac:dyDescent="0.35">
      <c r="A1" s="11" t="s">
        <v>72</v>
      </c>
    </row>
    <row r="3" spans="1:2" x14ac:dyDescent="0.3">
      <c r="A3" s="1" t="s">
        <v>73</v>
      </c>
      <c r="B3" s="1" t="s">
        <v>74</v>
      </c>
    </row>
    <row r="4" spans="1:2" ht="28.8" x14ac:dyDescent="0.3">
      <c r="A4" s="8" t="s">
        <v>75</v>
      </c>
      <c r="B4" s="8" t="s">
        <v>76</v>
      </c>
    </row>
    <row r="5" spans="1:2" x14ac:dyDescent="0.3">
      <c r="A5" s="8" t="s">
        <v>77</v>
      </c>
      <c r="B5" s="8" t="s">
        <v>78</v>
      </c>
    </row>
    <row r="6" spans="1:2" x14ac:dyDescent="0.3">
      <c r="A6" s="8" t="s">
        <v>7</v>
      </c>
      <c r="B6" s="8" t="s">
        <v>79</v>
      </c>
    </row>
    <row r="7" spans="1:2" ht="28.8" x14ac:dyDescent="0.3">
      <c r="A7" s="8" t="s">
        <v>80</v>
      </c>
      <c r="B7" s="8" t="s">
        <v>81</v>
      </c>
    </row>
    <row r="8" spans="1:2" x14ac:dyDescent="0.3">
      <c r="A8" s="8" t="s">
        <v>43</v>
      </c>
      <c r="B8" s="8" t="s">
        <v>82</v>
      </c>
    </row>
    <row r="9" spans="1:2" x14ac:dyDescent="0.3">
      <c r="A9" s="8" t="s">
        <v>83</v>
      </c>
      <c r="B9" s="8" t="s">
        <v>84</v>
      </c>
    </row>
    <row r="10" spans="1:2" x14ac:dyDescent="0.3">
      <c r="A10" s="8" t="s">
        <v>85</v>
      </c>
      <c r="B10" s="8" t="s">
        <v>86</v>
      </c>
    </row>
    <row r="11" spans="1:2" x14ac:dyDescent="0.3">
      <c r="A11" s="8" t="s">
        <v>87</v>
      </c>
      <c r="B11" s="8" t="s">
        <v>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"/>
  <sheetViews>
    <sheetView workbookViewId="0">
      <pane ySplit="1" topLeftCell="A2" activePane="bottomLeft" state="frozen"/>
      <selection pane="bottomLeft" activeCell="C5" sqref="C5"/>
    </sheetView>
  </sheetViews>
  <sheetFormatPr defaultRowHeight="14.4" x14ac:dyDescent="0.3"/>
  <cols>
    <col min="1" max="7" width="24" customWidth="1"/>
  </cols>
  <sheetData>
    <row r="1" spans="1:5" x14ac:dyDescent="0.3">
      <c r="A1" s="1" t="s">
        <v>89</v>
      </c>
      <c r="B1" s="1" t="s">
        <v>3</v>
      </c>
      <c r="C1" s="1" t="s">
        <v>30</v>
      </c>
      <c r="D1" s="1" t="s">
        <v>90</v>
      </c>
      <c r="E1" s="1" t="s">
        <v>91</v>
      </c>
    </row>
    <row r="2" spans="1:5" ht="43.2" x14ac:dyDescent="0.3">
      <c r="A2" s="10" t="s">
        <v>92</v>
      </c>
      <c r="B2" s="10" t="s">
        <v>4</v>
      </c>
      <c r="C2" s="10" t="s">
        <v>93</v>
      </c>
      <c r="D2" s="10" t="s">
        <v>94</v>
      </c>
      <c r="E2" s="10" t="s">
        <v>95</v>
      </c>
    </row>
    <row r="3" spans="1:5" ht="43.2" x14ac:dyDescent="0.3">
      <c r="A3" s="10" t="s">
        <v>96</v>
      </c>
      <c r="B3" s="10" t="s">
        <v>4</v>
      </c>
      <c r="C3" s="10" t="s">
        <v>97</v>
      </c>
      <c r="D3" s="10" t="s">
        <v>94</v>
      </c>
      <c r="E3" s="10" t="s">
        <v>98</v>
      </c>
    </row>
    <row r="4" spans="1:5" ht="43.2" x14ac:dyDescent="0.3">
      <c r="A4" s="10" t="s">
        <v>99</v>
      </c>
      <c r="B4" s="10" t="s">
        <v>37</v>
      </c>
      <c r="C4" s="10" t="s">
        <v>100</v>
      </c>
      <c r="D4" s="10" t="s">
        <v>101</v>
      </c>
      <c r="E4" s="10" t="s">
        <v>102</v>
      </c>
    </row>
    <row r="5" spans="1:5" ht="43.2" x14ac:dyDescent="0.3">
      <c r="A5" s="10" t="s">
        <v>103</v>
      </c>
      <c r="B5" s="10" t="s">
        <v>40</v>
      </c>
      <c r="C5" s="10" t="s">
        <v>104</v>
      </c>
      <c r="D5" s="10" t="s">
        <v>101</v>
      </c>
      <c r="E5" s="10" t="s">
        <v>105</v>
      </c>
    </row>
  </sheetData>
  <pageMargins left="0.75" right="0.75" top="1" bottom="1" header="0.5" footer="0.5"/>
  <tableParts count="1">
    <tablePart r:id="rId1"/>
  </tableParts>
</worksheet>
</file>

<file path=docMetadata/LabelInfo.xml><?xml version="1.0" encoding="utf-8"?>
<clbl:labelList xmlns:clbl="http://schemas.microsoft.com/office/2020/mipLabelMetadata">
  <clbl:label id="{a11ee6e5-21a0-48c4-8af4-6cc1347f763e}" enabled="1" method="Privileged" siteId="{a27ddcc1-bea5-4183-aa29-fd96d7612a1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Routing Decision Tool</vt:lpstr>
      <vt:lpstr>Reference Data</vt:lpstr>
      <vt:lpstr>Decision Rules</vt:lpstr>
      <vt:lpstr>Typical Route 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제제헬프랑카(JEZEHEL FRANCA) 책임매니저</cp:lastModifiedBy>
  <dcterms:created xsi:type="dcterms:W3CDTF">2026-06-01T04:48:51Z</dcterms:created>
  <dcterms:modified xsi:type="dcterms:W3CDTF">2026-06-01T06:16:52Z</dcterms:modified>
</cp:coreProperties>
</file>